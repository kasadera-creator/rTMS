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niyuki/Documents/せいちりょう病院/20251127_rTMS関連/"/>
    </mc:Choice>
  </mc:AlternateContent>
  <xr:revisionPtr revIDLastSave="0" documentId="13_ncr:1_{E3873613-9739-404B-BC6C-5394FF46F113}" xr6:coauthVersionLast="47" xr6:coauthVersionMax="47" xr10:uidLastSave="{00000000-0000-0000-0000-000000000000}"/>
  <bookViews>
    <workbookView xWindow="0" yWindow="660" windowWidth="22780" windowHeight="14540" xr2:uid="{D187A66B-CE80-4728-8E88-90CFF3E266F6}"/>
  </bookViews>
  <sheets>
    <sheet name="WHO-DAS" sheetId="4" r:id="rId1"/>
    <sheet name="BACS" sheetId="5" r:id="rId2"/>
    <sheet name="COPM" sheetId="2" r:id="rId3"/>
    <sheet name="６MWT" sheetId="3" r:id="rId4"/>
    <sheet name="Tinkertoy Tes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</calcChain>
</file>

<file path=xl/sharedStrings.xml><?xml version="1.0" encoding="utf-8"?>
<sst xmlns="http://schemas.openxmlformats.org/spreadsheetml/2006/main" count="98" uniqueCount="65">
  <si>
    <t>pre</t>
    <phoneticPr fontId="1"/>
  </si>
  <si>
    <t>post</t>
    <phoneticPr fontId="1"/>
  </si>
  <si>
    <t>作業名</t>
    <rPh sb="0" eb="2">
      <t>サギョウ</t>
    </rPh>
    <rPh sb="2" eb="3">
      <t>メイ</t>
    </rPh>
    <phoneticPr fontId="1"/>
  </si>
  <si>
    <t>重要度</t>
    <rPh sb="0" eb="3">
      <t>ジュウヨウド</t>
    </rPh>
    <phoneticPr fontId="1"/>
  </si>
  <si>
    <t>遂行度</t>
    <rPh sb="0" eb="3">
      <t>スイコウド</t>
    </rPh>
    <phoneticPr fontId="1"/>
  </si>
  <si>
    <t>満足度</t>
    <rPh sb="0" eb="3">
      <t>マンゾクド</t>
    </rPh>
    <phoneticPr fontId="1"/>
  </si>
  <si>
    <t>COPM</t>
    <phoneticPr fontId="1"/>
  </si>
  <si>
    <t>前</t>
    <rPh sb="0" eb="1">
      <t>マエ</t>
    </rPh>
    <phoneticPr fontId="1"/>
  </si>
  <si>
    <t>後</t>
    <rPh sb="0" eb="1">
      <t>アト</t>
    </rPh>
    <phoneticPr fontId="1"/>
  </si>
  <si>
    <t>血圧</t>
    <rPh sb="0" eb="2">
      <t>ケツアツ</t>
    </rPh>
    <phoneticPr fontId="1"/>
  </si>
  <si>
    <t>脈拍</t>
    <rPh sb="0" eb="2">
      <t>ミャクハク</t>
    </rPh>
    <phoneticPr fontId="1"/>
  </si>
  <si>
    <r>
      <t>SpO</t>
    </r>
    <r>
      <rPr>
        <sz val="10"/>
        <color theme="1"/>
        <rFont val="游ゴシック"/>
        <family val="3"/>
        <charset val="128"/>
        <scheme val="minor"/>
      </rPr>
      <t>2</t>
    </r>
    <phoneticPr fontId="1"/>
  </si>
  <si>
    <t>歩行距離</t>
    <rPh sb="0" eb="4">
      <t>ホコウキョリ</t>
    </rPh>
    <phoneticPr fontId="1"/>
  </si>
  <si>
    <t>膝の疼痛</t>
    <rPh sb="0" eb="1">
      <t>ヒザ</t>
    </rPh>
    <rPh sb="2" eb="4">
      <t>トウツウ</t>
    </rPh>
    <phoneticPr fontId="1"/>
  </si>
  <si>
    <t>呼吸困難感</t>
    <rPh sb="0" eb="5">
      <t>コキュウコンナンカン</t>
    </rPh>
    <phoneticPr fontId="1"/>
  </si>
  <si>
    <t>下肢疲労感</t>
    <rPh sb="0" eb="5">
      <t>カシヒロウカン</t>
    </rPh>
    <phoneticPr fontId="1"/>
  </si>
  <si>
    <t>開始前</t>
    <rPh sb="0" eb="3">
      <t>カイシマエ</t>
    </rPh>
    <phoneticPr fontId="1"/>
  </si>
  <si>
    <t>終了時</t>
    <rPh sb="0" eb="3">
      <t>シュウリョウジ</t>
    </rPh>
    <phoneticPr fontId="1"/>
  </si>
  <si>
    <t>６MWT</t>
    <phoneticPr fontId="1"/>
  </si>
  <si>
    <t>WHO-DAS</t>
    <phoneticPr fontId="1"/>
  </si>
  <si>
    <t>total</t>
    <phoneticPr fontId="1"/>
  </si>
  <si>
    <t>認知</t>
    <rPh sb="0" eb="2">
      <t>ニンチ</t>
    </rPh>
    <phoneticPr fontId="1"/>
  </si>
  <si>
    <t>移動</t>
    <rPh sb="0" eb="2">
      <t>イドウ</t>
    </rPh>
    <phoneticPr fontId="1"/>
  </si>
  <si>
    <t>セルフケア</t>
    <phoneticPr fontId="1"/>
  </si>
  <si>
    <t>対人関係</t>
    <rPh sb="0" eb="4">
      <t>タイジンカンケイ</t>
    </rPh>
    <phoneticPr fontId="1"/>
  </si>
  <si>
    <t>生活活動</t>
    <rPh sb="0" eb="4">
      <t>セイカツカツドウ</t>
    </rPh>
    <phoneticPr fontId="1"/>
  </si>
  <si>
    <t>社会参加</t>
    <rPh sb="0" eb="4">
      <t>シャカイサンカ</t>
    </rPh>
    <phoneticPr fontId="1"/>
  </si>
  <si>
    <t>BACS</t>
    <phoneticPr fontId="1"/>
  </si>
  <si>
    <t>composite</t>
    <phoneticPr fontId="1"/>
  </si>
  <si>
    <t>言語性記憶</t>
    <rPh sb="0" eb="5">
      <t>ゲンゴセイキオク</t>
    </rPh>
    <phoneticPr fontId="1"/>
  </si>
  <si>
    <t>ワーキングメモリ</t>
    <phoneticPr fontId="1"/>
  </si>
  <si>
    <t>運動速度</t>
    <rPh sb="0" eb="4">
      <t>ウンドウソクド</t>
    </rPh>
    <phoneticPr fontId="1"/>
  </si>
  <si>
    <t>注意</t>
    <rPh sb="0" eb="2">
      <t>チュウイ</t>
    </rPh>
    <phoneticPr fontId="1"/>
  </si>
  <si>
    <t>実行機能</t>
    <rPh sb="0" eb="4">
      <t>ジッコウキノウ</t>
    </rPh>
    <phoneticPr fontId="1"/>
  </si>
  <si>
    <t>H1</t>
    <phoneticPr fontId="1"/>
  </si>
  <si>
    <t>H2</t>
    <phoneticPr fontId="1"/>
  </si>
  <si>
    <t>H3</t>
    <phoneticPr fontId="1"/>
  </si>
  <si>
    <t>言語流暢性</t>
    <rPh sb="0" eb="5">
      <t>ゲンゴリュウチョウセイ</t>
    </rPh>
    <phoneticPr fontId="1"/>
  </si>
  <si>
    <t>整形外科に行って骨粗しょう症の薬をもらいに行く</t>
    <rPh sb="0" eb="4">
      <t>セイケイゲカ</t>
    </rPh>
    <rPh sb="5" eb="6">
      <t>イ</t>
    </rPh>
    <rPh sb="8" eb="14">
      <t>コツソショウショウ</t>
    </rPh>
    <rPh sb="15" eb="16">
      <t>クスリ</t>
    </rPh>
    <rPh sb="21" eb="22">
      <t>イ</t>
    </rPh>
    <phoneticPr fontId="1"/>
  </si>
  <si>
    <t>仕事に復帰する（2回/ｗ）</t>
    <rPh sb="0" eb="2">
      <t>シゴト</t>
    </rPh>
    <rPh sb="3" eb="5">
      <t>フッキ</t>
    </rPh>
    <rPh sb="9" eb="10">
      <t>カイ</t>
    </rPh>
    <phoneticPr fontId="1"/>
  </si>
  <si>
    <t>子どもの弁当を無理なく作る</t>
    <rPh sb="0" eb="1">
      <t>コ</t>
    </rPh>
    <rPh sb="4" eb="6">
      <t>ベントウ</t>
    </rPh>
    <rPh sb="7" eb="9">
      <t>ムリ</t>
    </rPh>
    <rPh sb="11" eb="12">
      <t>ツク</t>
    </rPh>
    <phoneticPr fontId="1"/>
  </si>
  <si>
    <t>117/100</t>
    <phoneticPr fontId="1"/>
  </si>
  <si>
    <t>118/109</t>
    <phoneticPr fontId="1"/>
  </si>
  <si>
    <t>ピース</t>
    <phoneticPr fontId="1"/>
  </si>
  <si>
    <t>時間</t>
    <rPh sb="0" eb="2">
      <t>ジカン</t>
    </rPh>
    <phoneticPr fontId="1"/>
  </si>
  <si>
    <t>１構成</t>
    <rPh sb="1" eb="3">
      <t>コウセイ</t>
    </rPh>
    <phoneticPr fontId="1"/>
  </si>
  <si>
    <t>２使用部品数</t>
    <rPh sb="1" eb="6">
      <t>シヨウブヒンスウ</t>
    </rPh>
    <phoneticPr fontId="1"/>
  </si>
  <si>
    <t>３名称</t>
    <rPh sb="1" eb="3">
      <t>メイショウ</t>
    </rPh>
    <phoneticPr fontId="1"/>
  </si>
  <si>
    <t>4可動性</t>
    <rPh sb="1" eb="4">
      <t>カドウセイ</t>
    </rPh>
    <phoneticPr fontId="1"/>
  </si>
  <si>
    <t>５立体性</t>
    <rPh sb="1" eb="4">
      <t>リッタイセイ</t>
    </rPh>
    <phoneticPr fontId="1"/>
  </si>
  <si>
    <t>6安定性</t>
    <rPh sb="1" eb="4">
      <t>アンテイセイ</t>
    </rPh>
    <phoneticPr fontId="1"/>
  </si>
  <si>
    <t>７誤り</t>
    <rPh sb="1" eb="2">
      <t>アヤマ</t>
    </rPh>
    <phoneticPr fontId="1"/>
  </si>
  <si>
    <t>複雑さの得点</t>
    <rPh sb="0" eb="2">
      <t>フクザツ</t>
    </rPh>
    <rPh sb="4" eb="6">
      <t>トクテン</t>
    </rPh>
    <phoneticPr fontId="1"/>
  </si>
  <si>
    <t>作成プロセス得点</t>
    <rPh sb="0" eb="2">
      <t>サクセイ</t>
    </rPh>
    <rPh sb="6" eb="8">
      <t>トクテン</t>
    </rPh>
    <phoneticPr fontId="1"/>
  </si>
  <si>
    <t>総合計点</t>
    <rPh sb="0" eb="4">
      <t>ソウゴウケイテン</t>
    </rPh>
    <phoneticPr fontId="1"/>
  </si>
  <si>
    <t>Z-score</t>
    <phoneticPr fontId="1"/>
  </si>
  <si>
    <t>作品名</t>
    <rPh sb="0" eb="3">
      <t>サクヒンメイ</t>
    </rPh>
    <phoneticPr fontId="1"/>
  </si>
  <si>
    <t>想像性をかきたてる遊具</t>
    <rPh sb="0" eb="3">
      <t>ソウゾウセイ</t>
    </rPh>
    <rPh sb="9" eb="11">
      <t>ユウグ</t>
    </rPh>
    <phoneticPr fontId="1"/>
  </si>
  <si>
    <t>花畑</t>
    <rPh sb="0" eb="2">
      <t>ハナバタケ</t>
    </rPh>
    <phoneticPr fontId="1"/>
  </si>
  <si>
    <t>バーべQ</t>
    <phoneticPr fontId="1"/>
  </si>
  <si>
    <t>1回目</t>
  </si>
  <si>
    <t>2回目1週目</t>
  </si>
  <si>
    <t>3回目2週目</t>
  </si>
  <si>
    <t>4回目3週目</t>
  </si>
  <si>
    <t>観覧車と遊園地の遊具</t>
    <rPh sb="0" eb="3">
      <t>カンランシャ</t>
    </rPh>
    <rPh sb="4" eb="7">
      <t>ユウエンチ</t>
    </rPh>
    <rPh sb="8" eb="10">
      <t>ユウグ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</si>
</sst>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2" xfId="0" applyBorder="1">
      <alignment vertical="center"/>
    </xf>
    <xf numFmtId="0" fontId="0" fillId="6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91A8-DB8F-4719-8EC2-769E68696BD1}">
  <dimension ref="B1:O8"/>
  <sheetViews>
    <sheetView tabSelected="1" zoomScale="52" workbookViewId="0">
      <selection activeCell="D19" sqref="D19"/>
    </sheetView>
  </sheetViews>
  <sheetFormatPr baseColWidth="10" defaultColWidth="8.83203125" defaultRowHeight="18"/>
  <sheetData>
    <row r="1" spans="2:15">
      <c r="B1" t="s">
        <v>19</v>
      </c>
    </row>
    <row r="2" spans="2:15">
      <c r="B2" t="s">
        <v>0</v>
      </c>
      <c r="I2" t="s">
        <v>1</v>
      </c>
    </row>
    <row r="3" spans="2:15"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25</v>
      </c>
      <c r="O3" s="7" t="s">
        <v>26</v>
      </c>
    </row>
    <row r="4" spans="2:15">
      <c r="B4" s="8">
        <f>SUM(C4:H4)</f>
        <v>26</v>
      </c>
      <c r="C4" s="8">
        <v>4</v>
      </c>
      <c r="D4" s="8">
        <v>5</v>
      </c>
      <c r="E4" s="8">
        <v>2</v>
      </c>
      <c r="F4" s="8">
        <v>3</v>
      </c>
      <c r="G4" s="8">
        <v>6</v>
      </c>
      <c r="H4" s="8">
        <v>6</v>
      </c>
      <c r="I4" s="8"/>
      <c r="J4" s="8"/>
      <c r="K4" s="8"/>
      <c r="L4" s="8"/>
      <c r="M4" s="8"/>
      <c r="N4" s="8"/>
      <c r="O4" s="8"/>
    </row>
    <row r="5" spans="2:1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7" spans="2:15">
      <c r="B7" s="2" t="s">
        <v>34</v>
      </c>
      <c r="C7" s="2" t="s">
        <v>35</v>
      </c>
      <c r="D7" s="2" t="s">
        <v>36</v>
      </c>
      <c r="I7" s="7" t="s">
        <v>34</v>
      </c>
      <c r="J7" s="7" t="s">
        <v>35</v>
      </c>
      <c r="K7" s="7" t="s">
        <v>36</v>
      </c>
    </row>
    <row r="8" spans="2:15">
      <c r="B8" s="3">
        <v>30</v>
      </c>
      <c r="C8" s="3">
        <v>30</v>
      </c>
      <c r="D8" s="3">
        <v>30</v>
      </c>
      <c r="I8" s="3"/>
      <c r="J8" s="3"/>
      <c r="K8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007A-2BA2-4DE0-AE7F-5B2BFFF9E716}">
  <dimension ref="B1:O4"/>
  <sheetViews>
    <sheetView workbookViewId="0">
      <selection activeCell="B5" sqref="B5"/>
    </sheetView>
  </sheetViews>
  <sheetFormatPr baseColWidth="10" defaultColWidth="8.83203125" defaultRowHeight="18"/>
  <sheetData>
    <row r="1" spans="2:15">
      <c r="B1" t="s">
        <v>27</v>
      </c>
    </row>
    <row r="2" spans="2:15">
      <c r="B2" t="s">
        <v>0</v>
      </c>
      <c r="I2" t="s">
        <v>1</v>
      </c>
    </row>
    <row r="3" spans="2:15">
      <c r="B3" s="5" t="s">
        <v>28</v>
      </c>
      <c r="C3" s="5" t="s">
        <v>29</v>
      </c>
      <c r="D3" s="5" t="s">
        <v>30</v>
      </c>
      <c r="E3" s="5" t="s">
        <v>31</v>
      </c>
      <c r="F3" s="5" t="s">
        <v>37</v>
      </c>
      <c r="G3" s="5" t="s">
        <v>32</v>
      </c>
      <c r="H3" s="5" t="s">
        <v>33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37</v>
      </c>
      <c r="N3" s="7" t="s">
        <v>32</v>
      </c>
      <c r="O3" s="7" t="s">
        <v>33</v>
      </c>
    </row>
    <row r="4" spans="2:15">
      <c r="B4" s="3">
        <v>0.2</v>
      </c>
      <c r="C4" s="3">
        <v>0.7</v>
      </c>
      <c r="D4" s="3">
        <v>-0.6</v>
      </c>
      <c r="E4" s="3">
        <v>1</v>
      </c>
      <c r="F4" s="3">
        <v>0.4</v>
      </c>
      <c r="G4" s="3">
        <v>0</v>
      </c>
      <c r="H4" s="3">
        <v>-0.3</v>
      </c>
      <c r="I4" s="3"/>
      <c r="J4" s="3"/>
      <c r="K4" s="3"/>
      <c r="L4" s="3"/>
      <c r="M4" s="3"/>
      <c r="N4" s="3"/>
      <c r="O4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00DE-9494-4BA9-88C8-E1679796CDDD}">
  <dimension ref="B1:H8"/>
  <sheetViews>
    <sheetView workbookViewId="0">
      <selection activeCell="E7" sqref="E7"/>
    </sheetView>
  </sheetViews>
  <sheetFormatPr baseColWidth="10" defaultColWidth="8.83203125" defaultRowHeight="18"/>
  <cols>
    <col min="2" max="2" width="46.6640625" customWidth="1"/>
  </cols>
  <sheetData>
    <row r="1" spans="2:8">
      <c r="B1" t="s">
        <v>6</v>
      </c>
    </row>
    <row r="2" spans="2:8">
      <c r="C2" t="s">
        <v>0</v>
      </c>
      <c r="F2" t="s">
        <v>1</v>
      </c>
    </row>
    <row r="3" spans="2:8">
      <c r="B3" s="1" t="s">
        <v>2</v>
      </c>
      <c r="C3" s="1" t="s">
        <v>3</v>
      </c>
      <c r="D3" s="1" t="s">
        <v>4</v>
      </c>
      <c r="E3" s="1" t="s">
        <v>5</v>
      </c>
      <c r="F3" s="2" t="s">
        <v>3</v>
      </c>
      <c r="G3" s="2" t="s">
        <v>4</v>
      </c>
      <c r="H3" s="2" t="s">
        <v>5</v>
      </c>
    </row>
    <row r="4" spans="2:8">
      <c r="B4" s="3" t="s">
        <v>38</v>
      </c>
      <c r="C4" s="3">
        <v>10</v>
      </c>
      <c r="D4" s="3">
        <v>1</v>
      </c>
      <c r="E4" s="3">
        <v>1</v>
      </c>
      <c r="F4" s="3"/>
      <c r="G4" s="3"/>
      <c r="H4" s="3"/>
    </row>
    <row r="5" spans="2:8">
      <c r="B5" s="3" t="s">
        <v>39</v>
      </c>
      <c r="C5" s="3">
        <v>10</v>
      </c>
      <c r="D5" s="3">
        <v>1</v>
      </c>
      <c r="E5" s="3">
        <v>1</v>
      </c>
      <c r="F5" s="3"/>
      <c r="G5" s="3"/>
      <c r="H5" s="3"/>
    </row>
    <row r="6" spans="2:8">
      <c r="B6" s="3" t="s">
        <v>40</v>
      </c>
      <c r="C6" s="3">
        <v>10</v>
      </c>
      <c r="D6" s="3">
        <v>4</v>
      </c>
      <c r="E6" s="3">
        <v>1</v>
      </c>
      <c r="F6" s="3"/>
      <c r="G6" s="3"/>
      <c r="H6" s="3"/>
    </row>
    <row r="7" spans="2:8">
      <c r="B7" s="3"/>
      <c r="C7" s="3"/>
      <c r="D7" s="3"/>
      <c r="E7" s="3"/>
      <c r="F7" s="3"/>
      <c r="G7" s="3"/>
      <c r="H7" s="3"/>
    </row>
    <row r="8" spans="2:8">
      <c r="B8" s="3"/>
      <c r="C8" s="3"/>
      <c r="D8" s="3"/>
      <c r="E8" s="3"/>
      <c r="F8" s="3"/>
      <c r="G8" s="3"/>
      <c r="H8" s="3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EF28-4EAD-4034-9722-263C44BBD977}">
  <dimension ref="B1:H12"/>
  <sheetViews>
    <sheetView workbookViewId="0">
      <selection activeCell="E1" sqref="E1"/>
    </sheetView>
  </sheetViews>
  <sheetFormatPr baseColWidth="10" defaultColWidth="8.83203125" defaultRowHeight="18"/>
  <sheetData>
    <row r="1" spans="2:8">
      <c r="B1" t="s">
        <v>18</v>
      </c>
    </row>
    <row r="2" spans="2:8">
      <c r="C2" t="s">
        <v>0</v>
      </c>
      <c r="E2" t="s">
        <v>1</v>
      </c>
    </row>
    <row r="3" spans="2:8">
      <c r="B3" s="4"/>
      <c r="C3" s="4" t="s">
        <v>7</v>
      </c>
      <c r="D3" s="4" t="s">
        <v>8</v>
      </c>
      <c r="E3" s="5" t="s">
        <v>7</v>
      </c>
      <c r="F3" s="5" t="s">
        <v>8</v>
      </c>
    </row>
    <row r="4" spans="2:8">
      <c r="B4" s="4" t="s">
        <v>9</v>
      </c>
      <c r="C4" s="3" t="s">
        <v>41</v>
      </c>
      <c r="D4" s="3" t="s">
        <v>42</v>
      </c>
      <c r="E4" s="3"/>
      <c r="F4" s="3"/>
    </row>
    <row r="5" spans="2:8">
      <c r="B5" s="4" t="s">
        <v>10</v>
      </c>
      <c r="C5" s="3">
        <v>87</v>
      </c>
      <c r="D5" s="3">
        <v>88</v>
      </c>
      <c r="E5" s="3"/>
      <c r="F5" s="3"/>
    </row>
    <row r="6" spans="2:8">
      <c r="B6" s="4" t="s">
        <v>11</v>
      </c>
      <c r="C6" s="3">
        <v>99</v>
      </c>
      <c r="D6" s="3">
        <v>99</v>
      </c>
      <c r="E6" s="3"/>
      <c r="F6" s="3"/>
    </row>
    <row r="7" spans="2:8">
      <c r="B7" s="4" t="s">
        <v>12</v>
      </c>
      <c r="C7" s="6"/>
      <c r="D7" s="3">
        <v>465</v>
      </c>
      <c r="E7" s="6"/>
      <c r="F7" s="3"/>
    </row>
    <row r="9" spans="2:8">
      <c r="C9" t="s">
        <v>0</v>
      </c>
      <c r="F9" t="s">
        <v>1</v>
      </c>
    </row>
    <row r="10" spans="2:8">
      <c r="B10" s="4"/>
      <c r="C10" s="4" t="s">
        <v>13</v>
      </c>
      <c r="D10" s="4" t="s">
        <v>14</v>
      </c>
      <c r="E10" s="4" t="s">
        <v>15</v>
      </c>
      <c r="F10" s="5" t="s">
        <v>13</v>
      </c>
      <c r="G10" s="5" t="s">
        <v>14</v>
      </c>
      <c r="H10" s="5" t="s">
        <v>15</v>
      </c>
    </row>
    <row r="11" spans="2:8">
      <c r="B11" s="4" t="s">
        <v>16</v>
      </c>
      <c r="C11" s="3">
        <v>0</v>
      </c>
      <c r="D11" s="3">
        <v>6</v>
      </c>
      <c r="E11" s="3">
        <v>6</v>
      </c>
      <c r="F11" s="3"/>
      <c r="G11" s="3"/>
      <c r="H11" s="3"/>
    </row>
    <row r="12" spans="2:8">
      <c r="B12" s="4" t="s">
        <v>17</v>
      </c>
      <c r="C12" s="3">
        <v>0</v>
      </c>
      <c r="D12" s="3">
        <v>6</v>
      </c>
      <c r="E12" s="3">
        <v>11</v>
      </c>
      <c r="F12" s="3"/>
      <c r="G12" s="3"/>
      <c r="H12" s="3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1266-EE0E-4DC4-B056-0EE49ECD1807}">
  <dimension ref="A1:O5"/>
  <sheetViews>
    <sheetView workbookViewId="0">
      <selection activeCell="O6" sqref="O6"/>
    </sheetView>
  </sheetViews>
  <sheetFormatPr baseColWidth="10" defaultColWidth="8.83203125" defaultRowHeight="18"/>
  <cols>
    <col min="4" max="4" width="22.1640625" bestFit="1" customWidth="1"/>
    <col min="6" max="6" width="12.33203125" bestFit="1" customWidth="1"/>
    <col min="11" max="11" width="6.6640625" bestFit="1" customWidth="1"/>
    <col min="12" max="12" width="12.33203125" bestFit="1" customWidth="1"/>
    <col min="13" max="13" width="16.1640625" bestFit="1" customWidth="1"/>
    <col min="14" max="14" width="8.5" bestFit="1" customWidth="1"/>
  </cols>
  <sheetData>
    <row r="1" spans="1:15">
      <c r="B1" t="s">
        <v>43</v>
      </c>
      <c r="C1" t="s">
        <v>44</v>
      </c>
      <c r="D1" t="s">
        <v>56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</row>
    <row r="2" spans="1:15">
      <c r="A2" t="s">
        <v>60</v>
      </c>
      <c r="B2">
        <v>50</v>
      </c>
      <c r="C2">
        <v>530</v>
      </c>
      <c r="D2" t="s">
        <v>57</v>
      </c>
      <c r="E2">
        <v>1</v>
      </c>
      <c r="F2">
        <v>4</v>
      </c>
      <c r="G2">
        <v>2</v>
      </c>
      <c r="H2">
        <v>2</v>
      </c>
      <c r="I2">
        <v>1</v>
      </c>
      <c r="J2">
        <v>1</v>
      </c>
      <c r="K2">
        <v>0</v>
      </c>
      <c r="L2">
        <v>11</v>
      </c>
      <c r="M2">
        <v>3</v>
      </c>
      <c r="N2">
        <v>14</v>
      </c>
      <c r="O2">
        <v>1.3434699999999999</v>
      </c>
    </row>
    <row r="3" spans="1:15">
      <c r="A3" t="s">
        <v>61</v>
      </c>
      <c r="B3">
        <v>50</v>
      </c>
      <c r="C3">
        <v>362</v>
      </c>
      <c r="D3" t="s">
        <v>58</v>
      </c>
      <c r="E3">
        <v>1</v>
      </c>
      <c r="F3">
        <v>4</v>
      </c>
      <c r="G3">
        <v>3</v>
      </c>
      <c r="H3">
        <v>1</v>
      </c>
      <c r="I3">
        <v>1</v>
      </c>
      <c r="J3">
        <v>1</v>
      </c>
      <c r="K3">
        <v>0</v>
      </c>
      <c r="L3">
        <v>11</v>
      </c>
      <c r="M3">
        <v>4</v>
      </c>
      <c r="N3">
        <v>15</v>
      </c>
      <c r="O3">
        <v>1.76173</v>
      </c>
    </row>
    <row r="4" spans="1:15">
      <c r="A4" t="s">
        <v>62</v>
      </c>
      <c r="B4">
        <v>50</v>
      </c>
      <c r="C4">
        <v>440</v>
      </c>
      <c r="D4" t="s">
        <v>59</v>
      </c>
      <c r="E4">
        <v>1</v>
      </c>
      <c r="F4">
        <v>4</v>
      </c>
      <c r="G4">
        <v>3</v>
      </c>
      <c r="H4">
        <v>2</v>
      </c>
      <c r="I4">
        <v>1</v>
      </c>
      <c r="J4">
        <v>1</v>
      </c>
      <c r="K4">
        <v>0</v>
      </c>
      <c r="L4">
        <v>12</v>
      </c>
      <c r="M4">
        <v>4</v>
      </c>
      <c r="N4">
        <v>16</v>
      </c>
      <c r="O4">
        <v>2.1800000000000002</v>
      </c>
    </row>
    <row r="5" spans="1:15">
      <c r="A5" t="s">
        <v>63</v>
      </c>
      <c r="B5">
        <v>50</v>
      </c>
      <c r="C5">
        <v>636</v>
      </c>
      <c r="D5" t="s">
        <v>64</v>
      </c>
      <c r="E5">
        <v>1</v>
      </c>
      <c r="F5">
        <v>4</v>
      </c>
      <c r="G5">
        <v>3</v>
      </c>
      <c r="H5">
        <v>2</v>
      </c>
      <c r="I5">
        <v>1</v>
      </c>
      <c r="J5">
        <v>1</v>
      </c>
      <c r="K5">
        <v>0</v>
      </c>
      <c r="L5">
        <v>12</v>
      </c>
      <c r="M5">
        <v>4</v>
      </c>
      <c r="N5">
        <v>16</v>
      </c>
      <c r="O5">
        <v>218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WHO-DAS</vt:lpstr>
      <vt:lpstr>BACS</vt:lpstr>
      <vt:lpstr>COPM</vt:lpstr>
      <vt:lpstr>６MWT</vt:lpstr>
      <vt:lpstr>Tinkertoy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雅貴 松井</dc:creator>
  <cp:lastModifiedBy>IWATA Kuniyuki</cp:lastModifiedBy>
  <dcterms:created xsi:type="dcterms:W3CDTF">2026-08-06T12:31:32Z</dcterms:created>
  <dcterms:modified xsi:type="dcterms:W3CDTF">2026-08-27T14:16:33Z</dcterms:modified>
</cp:coreProperties>
</file>